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_);[Red]\(#,##0.00\)"/>
    <numFmt numFmtId="165" formatCode="#,##0_ "/>
    <numFmt numFmtId="166" formatCode="0.00_);[Red]\(0.00\)"/>
    <numFmt numFmtId="167" formatCode="#,##0.000_ "/>
  </numFmts>
  <fonts count="31">
    <font>
      <name val="宋体"/>
      <charset val="134"/>
      <color theme="1"/>
      <sz val="11"/>
      <scheme val="minor"/>
    </font>
    <font>
      <name val="Arial Black"/>
      <charset val="0"/>
      <b val="1"/>
      <sz val="14"/>
    </font>
    <font>
      <name val="微软雅黑"/>
      <charset val="134"/>
      <b val="1"/>
      <sz val="14"/>
    </font>
    <font>
      <name val="Arial"/>
      <charset val="0"/>
      <b val="1"/>
      <sz val="14"/>
    </font>
    <font>
      <name val="Arial"/>
      <charset val="0"/>
      <sz val="8"/>
    </font>
    <font>
      <name val="Arial"/>
      <charset val="0"/>
      <color theme="1"/>
      <sz val="11"/>
    </font>
    <font>
      <name val="微软雅黑"/>
      <charset val="134"/>
      <b val="1"/>
      <sz val="18"/>
    </font>
    <font>
      <name val="Arial"/>
      <charset val="0"/>
      <b val="1"/>
      <sz val="10"/>
    </font>
    <font>
      <name val="Arial"/>
      <charset val="0"/>
      <sz val="10"/>
    </font>
    <font>
      <name val="Arial"/>
      <charset val="0"/>
      <color theme="1"/>
      <sz val="10"/>
    </font>
    <font>
      <name val="Arial"/>
      <charset val="0"/>
      <b val="1"/>
      <color theme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2" borderId="6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9" fillId="3" borderId="9" applyAlignment="1">
      <alignment vertical="center"/>
    </xf>
    <xf numFmtId="0" fontId="20" fillId="4" borderId="10" applyAlignment="1">
      <alignment vertical="center"/>
    </xf>
    <xf numFmtId="0" fontId="21" fillId="4" borderId="9" applyAlignment="1">
      <alignment vertical="center"/>
    </xf>
    <xf numFmtId="0" fontId="22" fillId="5" borderId="11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5" fillId="6" borderId="0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29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30" fillId="0" borderId="0"/>
  </cellStyleXfs>
  <cellXfs count="5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49">
      <alignment horizontal="right" vertical="center"/>
    </xf>
    <xf numFmtId="0" fontId="2" fillId="0" borderId="0" applyAlignment="1" pivotButton="0" quotePrefix="0" xfId="49">
      <alignment horizontal="right" vertical="center"/>
    </xf>
    <xf numFmtId="0" fontId="3" fillId="0" borderId="0" applyAlignment="1" pivotButton="0" quotePrefix="0" xfId="49">
      <alignment horizontal="right" vertical="center"/>
    </xf>
    <xf numFmtId="0" fontId="4" fillId="0" borderId="0" applyAlignment="1" pivotButton="0" quotePrefix="0" xfId="49">
      <alignment horizontal="right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49">
      <alignment horizontal="center" vertical="center"/>
    </xf>
    <xf numFmtId="0" fontId="7" fillId="0" borderId="0" applyAlignment="1" pivotButton="0" quotePrefix="0" xfId="49">
      <alignment horizontal="center" vertical="center"/>
    </xf>
    <xf numFmtId="49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49" fontId="8" fillId="0" borderId="2" applyAlignment="1" pivotButton="0" quotePrefix="0" xfId="0">
      <alignment horizontal="left" vertical="center"/>
    </xf>
    <xf numFmtId="49" fontId="8" fillId="0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49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7" fillId="0" borderId="4" applyAlignment="1" pivotButton="0" quotePrefix="0" xfId="49">
      <alignment horizontal="left" vertical="top"/>
    </xf>
    <xf numFmtId="0" fontId="7" fillId="0" borderId="4" applyAlignment="1" pivotButton="0" quotePrefix="0" xfId="49">
      <alignment horizontal="left" vertical="top" wrapText="1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/>
    </xf>
    <xf numFmtId="3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vertical="center"/>
    </xf>
    <xf numFmtId="0" fontId="8" fillId="0" borderId="5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top"/>
    </xf>
    <xf numFmtId="0" fontId="8" fillId="0" borderId="5" applyAlignment="1" pivotButton="0" quotePrefix="0" xfId="0">
      <alignment horizontal="center" vertical="center"/>
    </xf>
    <xf numFmtId="49" fontId="8" fillId="0" borderId="5" applyAlignment="1" pivotButton="0" quotePrefix="0" xfId="0">
      <alignment horizontal="left" vertical="center"/>
    </xf>
    <xf numFmtId="0" fontId="7" fillId="0" borderId="0" applyAlignment="1" pivotButton="0" quotePrefix="0" xfId="49">
      <alignment horizontal="left" vertical="center"/>
    </xf>
    <xf numFmtId="3" fontId="7" fillId="0" borderId="0" applyAlignment="1" pivotButton="0" quotePrefix="0" xfId="49">
      <alignment horizontal="left" vertical="center"/>
    </xf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0" fontId="8" fillId="0" borderId="0" applyAlignment="1" pivotButton="0" quotePrefix="0" xfId="49">
      <alignment horizontal="right" vertical="center" indent="1"/>
    </xf>
    <xf numFmtId="0" fontId="7" fillId="0" borderId="0" applyAlignment="1" pivotButton="0" quotePrefix="0" xfId="49">
      <alignment vertical="center"/>
    </xf>
    <xf numFmtId="166" fontId="8" fillId="0" borderId="0" applyAlignment="1" pivotButton="0" quotePrefix="0" xfId="49">
      <alignment vertical="center"/>
    </xf>
    <xf numFmtId="0" fontId="9" fillId="0" borderId="0" applyAlignment="1" pivotButton="0" quotePrefix="0" xfId="0">
      <alignment vertical="center"/>
    </xf>
    <xf numFmtId="167" fontId="8" fillId="0" borderId="0" applyAlignment="1" pivotButton="0" quotePrefix="0" xfId="49">
      <alignment vertical="center"/>
    </xf>
    <xf numFmtId="0" fontId="1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166" fontId="8" fillId="0" borderId="0" applyAlignment="1" pivotButton="0" quotePrefix="0" xfId="49">
      <alignment vertical="center"/>
    </xf>
    <xf numFmtId="167" fontId="8" fillId="0" borderId="0" applyAlignment="1" pivotButton="0" quotePrefix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tabSelected="1" zoomScale="115" zoomScaleNormal="115" workbookViewId="0">
      <selection activeCell="D12" sqref="D12"/>
    </sheetView>
  </sheetViews>
  <sheetFormatPr baseColWidth="8" defaultColWidth="9" defaultRowHeight="13.5"/>
  <cols>
    <col width="16.4" customWidth="1" style="48" min="1" max="2"/>
    <col width="23.0416666666667" customWidth="1" style="48" min="3" max="3"/>
    <col width="16.4583333333333" customWidth="1" style="48" min="4" max="4"/>
    <col width="15.7583333333333" customWidth="1" style="48" min="5" max="5"/>
    <col width="20.75" customWidth="1" style="48" min="6" max="6"/>
  </cols>
  <sheetData>
    <row r="1" ht="22.5" customHeight="1" s="48">
      <c r="A1" s="1" t="inlineStr">
        <is>
          <t>HUARUI INTERNATIONAL TRADING CO., LTD</t>
        </is>
      </c>
    </row>
    <row r="2" ht="21" customHeight="1" s="48">
      <c r="A2" s="2" t="inlineStr">
        <is>
          <t>华瑞国际贸易有限公司</t>
        </is>
      </c>
    </row>
    <row r="3">
      <c r="A3" s="4" t="inlineStr">
        <is>
          <t>Room 1208, No.88 Century Avenue, Pudong, Shanghai 200120, China</t>
        </is>
      </c>
    </row>
    <row r="4">
      <c r="A4" s="4" t="inlineStr">
        <is>
          <t>Tel: 0086 21 6838 1311  Fax: 0086 21 6631 5503  Mailto: sales@huarui-trading.com</t>
        </is>
      </c>
    </row>
    <row r="5" ht="14.25" customHeight="1" s="48">
      <c r="A5" s="5" t="n"/>
      <c r="B5" s="5" t="n"/>
      <c r="C5" s="5" t="n"/>
      <c r="D5" s="6" t="n"/>
      <c r="E5" s="5" t="n"/>
      <c r="F5" s="5" t="n"/>
    </row>
    <row r="6" ht="24.75" customHeight="1" s="48">
      <c r="A6" s="7" t="inlineStr">
        <is>
          <t>装   箱   单</t>
        </is>
      </c>
    </row>
    <row r="7">
      <c r="A7" s="8" t="inlineStr">
        <is>
          <t>PACKING LIST</t>
        </is>
      </c>
    </row>
    <row r="8">
      <c r="A8" s="8" t="n"/>
      <c r="B8" s="8" t="n"/>
      <c r="C8" s="8" t="n"/>
      <c r="D8" s="8" t="n"/>
      <c r="E8" s="8" t="n"/>
      <c r="F8" s="8" t="n"/>
    </row>
    <row r="9">
      <c r="A9" s="9" t="inlineStr">
        <is>
          <t xml:space="preserve">To:          </t>
        </is>
      </c>
      <c r="B9" s="28" t="inlineStr">
        <is>
          <t>GreenChem Europe B.V.</t>
        </is>
      </c>
      <c r="C9" s="28" t="n"/>
      <c r="D9" s="31" t="n"/>
      <c r="E9" s="27" t="inlineStr">
        <is>
          <t>Invoice No.:</t>
        </is>
      </c>
      <c r="F9" s="13" t="inlineStr">
        <is>
          <t>HR-TEST-CASE09</t>
        </is>
      </c>
    </row>
    <row r="10">
      <c r="A10" s="28" t="n"/>
      <c r="B10" s="28" t="n"/>
      <c r="C10" s="28" t="n"/>
      <c r="D10" s="31" t="n"/>
      <c r="E10" s="27" t="inlineStr">
        <is>
          <t>INV Date:</t>
        </is>
      </c>
      <c r="F10" s="14" t="inlineStr">
        <is>
          <t>April 10, 2025</t>
        </is>
      </c>
    </row>
    <row r="11">
      <c r="A11" s="27" t="inlineStr">
        <is>
          <t>Add.:</t>
        </is>
      </c>
      <c r="B11" s="28" t="inlineStr">
        <is>
          <t>Keizersgracht 125</t>
        </is>
      </c>
      <c r="C11" s="28" t="n"/>
      <c r="D11" s="31" t="n"/>
      <c r="E11" s="27" t="n"/>
      <c r="F11" s="15" t="n"/>
    </row>
    <row r="12">
      <c r="A12" s="27" t="n"/>
      <c r="B12" s="28" t="inlineStr">
        <is>
          <t>1015 CJ Amsterdam</t>
        </is>
      </c>
      <c r="C12" s="28" t="n"/>
      <c r="D12" s="31" t="n"/>
      <c r="E12" s="27" t="inlineStr">
        <is>
          <t>PO No.:</t>
        </is>
      </c>
      <c r="F12" s="28" t="inlineStr">
        <is>
          <t>GCE-PO-TEST09</t>
        </is>
      </c>
    </row>
    <row r="13">
      <c r="A13" s="27" t="n"/>
      <c r="B13" s="28" t="inlineStr">
        <is>
          <t>Netherlands</t>
        </is>
      </c>
      <c r="C13" s="28" t="n"/>
      <c r="D13" s="31" t="n"/>
      <c r="E13" s="27" t="inlineStr">
        <is>
          <t>PO Date:</t>
        </is>
      </c>
      <c r="F13" s="14" t="inlineStr">
        <is>
          <t>April 3, 2025</t>
        </is>
      </c>
    </row>
    <row r="14">
      <c r="A14" s="16" t="n"/>
      <c r="B14" s="28" t="n"/>
      <c r="C14" s="16" t="n"/>
      <c r="D14" s="28" t="n"/>
      <c r="E14" s="16" t="n"/>
      <c r="F14" s="28" t="n"/>
    </row>
    <row r="15">
      <c r="A15" s="16" t="inlineStr">
        <is>
          <t>INCOTERMS: FOB Shanghai Port</t>
        </is>
      </c>
      <c r="B15" s="28" t="n"/>
      <c r="C15" s="18" t="n"/>
      <c r="D15" s="28" t="n"/>
      <c r="E15" s="28" t="n"/>
      <c r="F15" s="19" t="inlineStr">
        <is>
          <t>Country of Origin: China</t>
        </is>
      </c>
    </row>
    <row r="16">
      <c r="A16" s="16" t="inlineStr">
        <is>
          <t>Means of Transportation: From Shanghai, China to Rotterdam, Netherlands by sea.</t>
        </is>
      </c>
      <c r="B16" s="18" t="n"/>
      <c r="C16" s="18" t="n"/>
      <c r="D16" s="16" t="n"/>
      <c r="E16" s="28" t="n"/>
      <c r="F16" s="20" t="n"/>
    </row>
    <row r="17" ht="14.25" customHeight="1" s="48">
      <c r="A17" s="21" t="n"/>
      <c r="B17" s="27" t="n"/>
      <c r="C17" s="18" t="n"/>
      <c r="D17" s="23" t="n"/>
      <c r="E17" s="23" t="n"/>
      <c r="F17" s="24" t="n"/>
    </row>
    <row r="18">
      <c r="A18" s="25" t="inlineStr">
        <is>
          <t>Marks</t>
        </is>
      </c>
      <c r="B18" s="25" t="inlineStr">
        <is>
          <t>Packing</t>
        </is>
      </c>
      <c r="C18" s="25" t="inlineStr">
        <is>
          <t>Description of Goods</t>
        </is>
      </c>
      <c r="D18" s="26" t="inlineStr">
        <is>
          <t>Nos of Packages</t>
        </is>
      </c>
      <c r="E18" s="26" t="inlineStr">
        <is>
          <t>Net Weight, KGS</t>
        </is>
      </c>
      <c r="F18" s="26" t="inlineStr">
        <is>
          <t>Gross Weight,      KGS</t>
        </is>
      </c>
    </row>
    <row r="19">
      <c r="A19" s="27" t="inlineStr">
        <is>
          <t>N/M</t>
        </is>
      </c>
      <c r="B19" s="28" t="inlineStr">
        <is>
          <t>1,050KGS/IBC</t>
        </is>
      </c>
      <c r="C19" s="29" t="inlineStr">
        <is>
          <t>Glutaraldehyde 50%</t>
        </is>
      </c>
      <c r="D19" s="28" t="n">
        <v>20</v>
      </c>
      <c r="E19" s="30" t="n">
        <v>21000</v>
      </c>
      <c r="F19" s="30" t="n">
        <v>22150</v>
      </c>
    </row>
    <row r="20">
      <c r="A20" s="27" t="n"/>
      <c r="B20" s="28" t="n"/>
      <c r="C20" s="29" t="inlineStr">
        <is>
          <t>Material Code: GTA-50-IBC</t>
        </is>
      </c>
      <c r="D20" s="31" t="n"/>
      <c r="E20" s="27" t="n"/>
      <c r="F20" s="32" t="n"/>
    </row>
    <row r="21">
      <c r="A21" s="27" t="n"/>
      <c r="B21" s="28" t="n"/>
      <c r="C21" s="27" t="n"/>
      <c r="D21" s="31" t="n"/>
      <c r="E21" s="27" t="n"/>
      <c r="F21" s="32" t="n"/>
    </row>
    <row r="22" ht="14.25" customHeight="1" s="48">
      <c r="A22" s="33" t="n"/>
      <c r="B22" s="34" t="n"/>
      <c r="C22" s="35" t="n"/>
      <c r="D22" s="36" t="n"/>
      <c r="E22" s="33" t="n"/>
      <c r="F22" s="37" t="n"/>
    </row>
    <row r="23">
      <c r="A23" s="38" t="inlineStr">
        <is>
          <t xml:space="preserve">TOTAL: </t>
        </is>
      </c>
      <c r="B23" s="38" t="n"/>
      <c r="C23" s="38" t="n"/>
      <c r="D23" s="38">
        <f>SUM(D19:D22)</f>
        <v/>
      </c>
      <c r="E23" s="39">
        <f>SUM(E19:E22)</f>
        <v/>
      </c>
      <c r="F23" s="39">
        <f>SUM(F19:F22)</f>
        <v/>
      </c>
    </row>
    <row r="24">
      <c r="A24" s="21" t="n"/>
      <c r="B24" s="21" t="n"/>
      <c r="C24" s="21" t="n"/>
      <c r="D24" s="49" t="n"/>
      <c r="E24" s="50" t="n"/>
      <c r="F24" s="42" t="n"/>
    </row>
    <row r="25">
      <c r="A25" s="43" t="inlineStr">
        <is>
          <t>SAY TOTAL TWENTY (20) IBCS ONLY.</t>
        </is>
      </c>
      <c r="B25" s="43" t="n"/>
      <c r="C25" s="21" t="n"/>
      <c r="D25" s="51" t="n"/>
      <c r="E25" s="50" t="n"/>
      <c r="F25" s="42" t="n"/>
    </row>
    <row r="26">
      <c r="A26" s="43" t="n"/>
      <c r="B26" s="43" t="n"/>
      <c r="C26" s="21" t="n"/>
      <c r="D26" s="51" t="n"/>
      <c r="E26" s="50" t="n"/>
      <c r="F26" s="42" t="n"/>
    </row>
    <row r="27">
      <c r="A27" s="45" t="n"/>
      <c r="B27" s="45" t="n"/>
      <c r="C27" s="45" t="n"/>
      <c r="D27" s="45" t="n"/>
      <c r="E27" s="45" t="n"/>
      <c r="F27" s="45" t="n"/>
    </row>
    <row r="28">
      <c r="A28" s="45" t="n"/>
      <c r="B28" s="45" t="n"/>
      <c r="C28" s="45" t="n"/>
      <c r="D28" s="45" t="n"/>
      <c r="E28" s="45" t="n"/>
      <c r="F28" s="45" t="n"/>
    </row>
    <row r="29">
      <c r="A29" s="45" t="n"/>
      <c r="B29" s="45" t="n"/>
      <c r="C29" s="45" t="n"/>
      <c r="D29" s="45" t="n"/>
      <c r="E29" s="45" t="n"/>
      <c r="F29" s="45" t="n"/>
    </row>
    <row r="30">
      <c r="A30" s="43" t="n"/>
      <c r="B30" s="43" t="n"/>
      <c r="C30" s="21" t="n"/>
      <c r="D30" s="52" t="n"/>
      <c r="E30" s="50" t="n"/>
      <c r="F30" s="42" t="n"/>
    </row>
    <row r="31">
      <c r="A31" s="43" t="n"/>
      <c r="B31" s="43" t="n"/>
      <c r="C31" s="21" t="n"/>
      <c r="D31" s="52" t="n"/>
      <c r="E31" s="50" t="n"/>
      <c r="F31" s="42" t="n"/>
    </row>
    <row r="32" ht="15.75" customHeight="1" s="48">
      <c r="A32" s="43" t="n"/>
      <c r="B32" s="43" t="n"/>
      <c r="C32" s="47" t="inlineStr">
        <is>
          <t xml:space="preserve"> Huarui International Trading Co., Ltd</t>
        </is>
      </c>
    </row>
  </sheetData>
  <mergeCells count="7">
    <mergeCell ref="A2:F2"/>
    <mergeCell ref="A1:F1"/>
    <mergeCell ref="A6:F6"/>
    <mergeCell ref="A4:F4"/>
    <mergeCell ref="C32:F32"/>
    <mergeCell ref="A3:F3"/>
    <mergeCell ref="A7:F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2026-05-03T02:35:42Z</dcterms:modified>
  <cp:lastModifiedBy>抿晨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FFE1A73028C34ABCA86ECAC5838390DF_12</vt:lpwstr>
  </property>
  <property name="CalculationRule" fmtid="{D5CDD505-2E9C-101B-9397-08002B2CF9AE}" pid="4">
    <vt:i4 xmlns:vt="http://schemas.openxmlformats.org/officeDocument/2006/docPropsVTypes">0</vt:i4>
  </property>
</Properties>
</file>