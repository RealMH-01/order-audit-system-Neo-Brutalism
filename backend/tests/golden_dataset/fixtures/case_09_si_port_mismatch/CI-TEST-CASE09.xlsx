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INV" sheetId="1" state="visible" r:id="rId1"/>
  </sheets>
  <definedNames/>
  <calcPr calcId="191029" fullCalcOnLoad="1"/>
</workbook>
</file>

<file path=xl/styles.xml><?xml version="1.0" encoding="utf-8"?>
<styleSheet xmlns="http://schemas.openxmlformats.org/spreadsheetml/2006/main">
  <numFmts count="1">
    <numFmt numFmtId="164" formatCode="&quot;US$&quot;#,##0.00_);\(&quot;US$&quot;#,##0.00\)"/>
  </numFmts>
  <fonts count="39">
    <font>
      <name val="宋体"/>
      <charset val="134"/>
      <color theme="1"/>
      <sz val="11"/>
      <scheme val="minor"/>
    </font>
    <font>
      <name val="Arial"/>
      <charset val="0"/>
      <sz val="11"/>
    </font>
    <font>
      <name val="Arial"/>
      <charset val="0"/>
      <sz val="10"/>
    </font>
    <font>
      <name val="Arial"/>
      <charset val="0"/>
      <color theme="1"/>
      <sz val="10"/>
    </font>
    <font>
      <name val="Arial"/>
      <charset val="0"/>
      <color theme="1"/>
      <sz val="11"/>
    </font>
    <font>
      <name val="Arial Black"/>
      <charset val="0"/>
      <b val="1"/>
      <sz val="14"/>
    </font>
    <font>
      <name val="微软雅黑"/>
      <charset val="134"/>
      <b val="1"/>
      <sz val="14"/>
    </font>
    <font>
      <name val="Arial"/>
      <charset val="0"/>
      <b val="1"/>
      <sz val="14"/>
    </font>
    <font>
      <name val="Arial"/>
      <charset val="0"/>
      <sz val="8"/>
    </font>
    <font>
      <name val="微软雅黑"/>
      <charset val="134"/>
      <b val="1"/>
      <sz val="18"/>
    </font>
    <font>
      <name val="Arial"/>
      <charset val="0"/>
      <b val="1"/>
      <color indexed="8"/>
      <sz val="18"/>
    </font>
    <font>
      <name val="Arial"/>
      <charset val="0"/>
      <color indexed="8"/>
      <sz val="10"/>
    </font>
    <font>
      <name val="Arial"/>
      <charset val="0"/>
      <b val="1"/>
      <color indexed="8"/>
      <sz val="10"/>
    </font>
    <font>
      <name val="Arial"/>
      <charset val="0"/>
      <b val="1"/>
      <sz val="10.5"/>
    </font>
    <font>
      <name val="Arial"/>
      <charset val="0"/>
      <sz val="10.5"/>
    </font>
    <font>
      <name val="Arial"/>
      <charset val="0"/>
      <b val="1"/>
      <sz val="10"/>
    </font>
    <font>
      <name val="Arial"/>
      <charset val="0"/>
      <color theme="1"/>
      <sz val="12"/>
    </font>
    <font>
      <name val="Arial"/>
      <charset val="0"/>
      <b val="1"/>
      <color indexed="8"/>
      <sz val="12"/>
    </font>
    <font>
      <name val="Arial"/>
      <charset val="0"/>
      <color theme="1"/>
      <sz val="8"/>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2"/>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bottom style="medium">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9" fillId="0" borderId="0" applyAlignment="1">
      <alignment vertical="center"/>
    </xf>
    <xf numFmtId="0" fontId="20" fillId="0" borderId="0" applyAlignment="1">
      <alignment vertical="center"/>
    </xf>
    <xf numFmtId="0" fontId="0" fillId="2" borderId="6"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7" applyAlignment="1">
      <alignment vertical="center"/>
    </xf>
    <xf numFmtId="0" fontId="25" fillId="0" borderId="7" applyAlignment="1">
      <alignment vertical="center"/>
    </xf>
    <xf numFmtId="0" fontId="26" fillId="0" borderId="8" applyAlignment="1">
      <alignment vertical="center"/>
    </xf>
    <xf numFmtId="0" fontId="26" fillId="0" borderId="0" applyAlignment="1">
      <alignment vertical="center"/>
    </xf>
    <xf numFmtId="0" fontId="27" fillId="3" borderId="9" applyAlignment="1">
      <alignment vertical="center"/>
    </xf>
    <xf numFmtId="0" fontId="28" fillId="4" borderId="10" applyAlignment="1">
      <alignment vertical="center"/>
    </xf>
    <xf numFmtId="0" fontId="29" fillId="4" borderId="9" applyAlignment="1">
      <alignment vertical="center"/>
    </xf>
    <xf numFmtId="0" fontId="30" fillId="5" borderId="11" applyAlignment="1">
      <alignment vertical="center"/>
    </xf>
    <xf numFmtId="0" fontId="31" fillId="0" borderId="12" applyAlignment="1">
      <alignment vertical="center"/>
    </xf>
    <xf numFmtId="0" fontId="32" fillId="0" borderId="13" applyAlignment="1">
      <alignment vertical="center"/>
    </xf>
    <xf numFmtId="0" fontId="33" fillId="6" borderId="0" applyAlignment="1">
      <alignment vertical="center"/>
    </xf>
    <xf numFmtId="0" fontId="34" fillId="7" borderId="0" applyAlignment="1">
      <alignment vertical="center"/>
    </xf>
    <xf numFmtId="0" fontId="35" fillId="8" borderId="0" applyAlignment="1">
      <alignment vertical="center"/>
    </xf>
    <xf numFmtId="0" fontId="36" fillId="9" borderId="0" applyAlignment="1">
      <alignment vertical="center"/>
    </xf>
    <xf numFmtId="0" fontId="37" fillId="10" borderId="0" applyAlignment="1">
      <alignment vertical="center"/>
    </xf>
    <xf numFmtId="0" fontId="37" fillId="11" borderId="0" applyAlignment="1">
      <alignment vertical="center"/>
    </xf>
    <xf numFmtId="0" fontId="36" fillId="12" borderId="0" applyAlignment="1">
      <alignment vertical="center"/>
    </xf>
    <xf numFmtId="0" fontId="36" fillId="13" borderId="0" applyAlignment="1">
      <alignment vertical="center"/>
    </xf>
    <xf numFmtId="0" fontId="37" fillId="14" borderId="0" applyAlignment="1">
      <alignment vertical="center"/>
    </xf>
    <xf numFmtId="0" fontId="37" fillId="15" borderId="0" applyAlignment="1">
      <alignment vertical="center"/>
    </xf>
    <xf numFmtId="0" fontId="36" fillId="16" borderId="0" applyAlignment="1">
      <alignment vertical="center"/>
    </xf>
    <xf numFmtId="0" fontId="36" fillId="17" borderId="0" applyAlignment="1">
      <alignment vertical="center"/>
    </xf>
    <xf numFmtId="0" fontId="37" fillId="18" borderId="0" applyAlignment="1">
      <alignment vertical="center"/>
    </xf>
    <xf numFmtId="0" fontId="37" fillId="19" borderId="0" applyAlignment="1">
      <alignment vertical="center"/>
    </xf>
    <xf numFmtId="0" fontId="36" fillId="20" borderId="0" applyAlignment="1">
      <alignment vertical="center"/>
    </xf>
    <xf numFmtId="0" fontId="36" fillId="21" borderId="0" applyAlignment="1">
      <alignment vertical="center"/>
    </xf>
    <xf numFmtId="0" fontId="37" fillId="22" borderId="0" applyAlignment="1">
      <alignment vertical="center"/>
    </xf>
    <xf numFmtId="0" fontId="37" fillId="23" borderId="0" applyAlignment="1">
      <alignment vertical="center"/>
    </xf>
    <xf numFmtId="0" fontId="36" fillId="24" borderId="0" applyAlignment="1">
      <alignment vertical="center"/>
    </xf>
    <xf numFmtId="0" fontId="36" fillId="25" borderId="0" applyAlignment="1">
      <alignment vertical="center"/>
    </xf>
    <xf numFmtId="0" fontId="37" fillId="26" borderId="0" applyAlignment="1">
      <alignment vertical="center"/>
    </xf>
    <xf numFmtId="0" fontId="37" fillId="27" borderId="0" applyAlignment="1">
      <alignment vertical="center"/>
    </xf>
    <xf numFmtId="0" fontId="36" fillId="28" borderId="0" applyAlignment="1">
      <alignment vertical="center"/>
    </xf>
    <xf numFmtId="0" fontId="36" fillId="29" borderId="0" applyAlignment="1">
      <alignment vertical="center"/>
    </xf>
    <xf numFmtId="0" fontId="37" fillId="30" borderId="0" applyAlignment="1">
      <alignment vertical="center"/>
    </xf>
    <xf numFmtId="0" fontId="37" fillId="31" borderId="0" applyAlignment="1">
      <alignment vertical="center"/>
    </xf>
    <xf numFmtId="0" fontId="36" fillId="32" borderId="0" applyAlignment="1">
      <alignment vertical="center"/>
    </xf>
    <xf numFmtId="0" fontId="38" fillId="0" borderId="0"/>
  </cellStyleXfs>
  <cellXfs count="67">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49">
      <alignment horizontal="right" vertical="center"/>
    </xf>
    <xf numFmtId="0" fontId="6" fillId="0" borderId="0" applyAlignment="1" pivotButton="0" quotePrefix="0" xfId="49">
      <alignment horizontal="right" vertical="center"/>
    </xf>
    <xf numFmtId="0" fontId="7" fillId="0" borderId="0" applyAlignment="1" pivotButton="0" quotePrefix="0" xfId="49">
      <alignment horizontal="right" vertical="center"/>
    </xf>
    <xf numFmtId="0" fontId="8" fillId="0" borderId="0" applyAlignment="1" pivotButton="0" quotePrefix="0" xfId="49">
      <alignment horizontal="right" vertical="center"/>
    </xf>
    <xf numFmtId="0" fontId="9" fillId="0" borderId="0" applyAlignment="1" pivotButton="0" quotePrefix="0" xfId="49">
      <alignment horizontal="center" vertical="center"/>
    </xf>
    <xf numFmtId="49" fontId="10" fillId="0" borderId="0" applyAlignment="1" pivotButton="0" quotePrefix="0" xfId="0">
      <alignment horizontal="center"/>
    </xf>
    <xf numFmtId="0" fontId="1" fillId="0" borderId="0" applyAlignment="1" pivotButton="0" quotePrefix="0" xfId="0">
      <alignment vertical="center"/>
    </xf>
    <xf numFmtId="49" fontId="11" fillId="0" borderId="0" applyAlignment="1" pivotButton="0" quotePrefix="0" xfId="0">
      <alignment horizontal="left"/>
    </xf>
    <xf numFmtId="0" fontId="12" fillId="0" borderId="0" pivotButton="0" quotePrefix="0" xfId="0"/>
    <xf numFmtId="0" fontId="11" fillId="0" borderId="0" applyAlignment="1" pivotButton="0" quotePrefix="0" xfId="0">
      <alignment horizontal="center"/>
    </xf>
    <xf numFmtId="0" fontId="12" fillId="0" borderId="0" applyAlignment="1" pivotButton="0" quotePrefix="0" xfId="0">
      <alignment horizontal="center"/>
    </xf>
    <xf numFmtId="0" fontId="2" fillId="0" borderId="0" applyAlignment="1" pivotButton="0" quotePrefix="0" xfId="0">
      <alignment vertical="center"/>
    </xf>
    <xf numFmtId="49" fontId="2" fillId="0" borderId="0" applyAlignment="1" pivotButton="0" quotePrefix="0" xfId="0">
      <alignment horizontal="left"/>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1" applyAlignment="1" pivotButton="0" quotePrefix="0" xfId="0">
      <alignment horizontal="left" vertical="center"/>
    </xf>
    <xf numFmtId="49" fontId="2" fillId="0" borderId="2" applyAlignment="1" pivotButton="0" quotePrefix="0" xfId="0">
      <alignment horizontal="left" vertical="center"/>
    </xf>
    <xf numFmtId="49" fontId="2" fillId="0" borderId="3" applyAlignment="1" pivotButton="0" quotePrefix="0" xfId="0">
      <alignment horizontal="left" vertical="center"/>
    </xf>
    <xf numFmtId="0" fontId="1" fillId="0" borderId="0" applyAlignment="1" pivotButton="0" quotePrefix="0" xfId="0">
      <alignmen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2" fillId="0" borderId="0" pivotButton="0" quotePrefix="0" xfId="0"/>
    <xf numFmtId="0" fontId="15" fillId="0" borderId="0" applyAlignment="1" pivotButton="0" quotePrefix="0" xfId="0">
      <alignment horizontal="right" vertical="center"/>
    </xf>
    <xf numFmtId="0" fontId="2" fillId="0" borderId="4" pivotButton="0" quotePrefix="0" xfId="0"/>
    <xf numFmtId="0" fontId="2" fillId="0" borderId="4" applyAlignment="1" pivotButton="0" quotePrefix="0" xfId="0">
      <alignment horizontal="center"/>
    </xf>
    <xf numFmtId="0" fontId="15" fillId="0" borderId="5" applyAlignment="1" pivotButton="0" quotePrefix="0" xfId="0">
      <alignment horizontal="left" vertical="top" wrapText="1"/>
    </xf>
    <xf numFmtId="0" fontId="15" fillId="0" borderId="5" applyAlignment="1" pivotButton="0" quotePrefix="0" xfId="0">
      <alignment horizontal="left" vertical="top"/>
    </xf>
    <xf numFmtId="0" fontId="3" fillId="0" borderId="0" applyAlignment="1" pivotButton="0" quotePrefix="0" xfId="0">
      <alignment horizontal="left" vertical="center"/>
    </xf>
    <xf numFmtId="0" fontId="2" fillId="0" borderId="0" applyAlignment="1" pivotButton="0" quotePrefix="0" xfId="0">
      <alignment horizontal="left" vertical="top" wrapText="1"/>
    </xf>
    <xf numFmtId="0" fontId="2" fillId="0" borderId="0" applyAlignment="1" pivotButton="0" quotePrefix="0" xfId="0">
      <alignment horizontal="left" vertical="top"/>
    </xf>
    <xf numFmtId="3" fontId="2" fillId="0" borderId="0" applyAlignment="1" pivotButton="0" quotePrefix="0" xfId="0">
      <alignment horizontal="left" vertical="top" wrapText="1"/>
    </xf>
    <xf numFmtId="164" fontId="2" fillId="0" borderId="0" applyAlignment="1" pivotButton="0" quotePrefix="0" xfId="0">
      <alignment horizontal="left" vertical="top" wrapText="1"/>
    </xf>
    <xf numFmtId="0" fontId="2" fillId="0" borderId="4" applyAlignment="1" pivotButton="0" quotePrefix="0" xfId="0">
      <alignment horizontal="left" vertical="top" wrapText="1"/>
    </xf>
    <xf numFmtId="0" fontId="2" fillId="0" borderId="4" applyAlignment="1" pivotButton="0" quotePrefix="0" xfId="0">
      <alignment horizontal="left" vertical="top"/>
    </xf>
    <xf numFmtId="164" fontId="2" fillId="0" borderId="4" applyAlignment="1" pivotButton="0" quotePrefix="0" xfId="0">
      <alignment horizontal="left" vertical="top" wrapText="1"/>
    </xf>
    <xf numFmtId="0" fontId="15" fillId="0" borderId="0" applyAlignment="1" pivotButton="0" quotePrefix="0" xfId="0">
      <alignment horizontal="left"/>
    </xf>
    <xf numFmtId="0" fontId="2" fillId="0" borderId="0" applyAlignment="1" pivotButton="0" quotePrefix="0" xfId="0">
      <alignment horizontal="left"/>
    </xf>
    <xf numFmtId="1" fontId="15" fillId="0" borderId="0" applyAlignment="1" pivotButton="0" quotePrefix="0" xfId="0">
      <alignment horizontal="left"/>
    </xf>
    <xf numFmtId="164" fontId="15" fillId="0" borderId="0" applyAlignment="1" pivotButton="0" quotePrefix="0" xfId="0">
      <alignment horizontal="left" vertical="top"/>
    </xf>
    <xf numFmtId="0" fontId="15" fillId="0" borderId="0" applyAlignment="1" pivotButton="0" quotePrefix="0" xfId="0">
      <alignment vertical="center"/>
    </xf>
    <xf numFmtId="0" fontId="2" fillId="0" borderId="0" applyAlignment="1" pivotButton="0" quotePrefix="0" xfId="0">
      <alignment horizont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pivotButton="0" quotePrefix="0" xfId="0"/>
    <xf numFmtId="0" fontId="4" fillId="0" borderId="0" applyAlignment="1" pivotButton="0" quotePrefix="0" xfId="0">
      <alignment vertical="center"/>
    </xf>
    <xf numFmtId="0" fontId="11" fillId="0" borderId="0" pivotButton="0" quotePrefix="0" xfId="0"/>
    <xf numFmtId="0" fontId="16" fillId="0" borderId="0" applyAlignment="1" pivotButton="0" quotePrefix="0" xfId="0">
      <alignment vertical="center"/>
    </xf>
    <xf numFmtId="0" fontId="17" fillId="0" borderId="0" applyAlignment="1" pivotButton="0" quotePrefix="0" xfId="0">
      <alignment horizontal="right"/>
    </xf>
    <xf numFmtId="0" fontId="3" fillId="0" borderId="0" applyAlignment="1" pivotButton="0" quotePrefix="0" xfId="0">
      <alignment vertical="center"/>
    </xf>
    <xf numFmtId="0" fontId="11" fillId="0" borderId="0" applyAlignment="1" pivotButton="0" quotePrefix="0" xfId="0">
      <alignment horizontal="left"/>
    </xf>
    <xf numFmtId="0" fontId="12" fillId="0" borderId="0" pivotButton="0" quotePrefix="0" xfId="0"/>
    <xf numFmtId="0" fontId="18" fillId="0" borderId="0" applyAlignment="1" pivotButton="0" quotePrefix="0" xfId="0">
      <alignment vertical="center" wrapText="1"/>
    </xf>
    <xf numFmtId="0" fontId="0" fillId="0" borderId="0" pivotButton="0" quotePrefix="0" xfId="0"/>
    <xf numFmtId="164" fontId="2" fillId="0" borderId="0" applyAlignment="1" pivotButton="0" quotePrefix="0" xfId="0">
      <alignment horizontal="left" vertical="top" wrapText="1"/>
    </xf>
    <xf numFmtId="164" fontId="2" fillId="0" borderId="4" applyAlignment="1" pivotButton="0" quotePrefix="0" xfId="0">
      <alignment horizontal="left" vertical="top" wrapText="1"/>
    </xf>
    <xf numFmtId="164" fontId="15" fillId="0" borderId="0" applyAlignment="1" pivotButton="0" quotePrefix="0" xfId="0">
      <alignment horizontal="left"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40"/>
  <sheetViews>
    <sheetView tabSelected="1" zoomScaleSheetLayoutView="60" workbookViewId="0">
      <selection activeCell="F9" sqref="F9"/>
    </sheetView>
  </sheetViews>
  <sheetFormatPr baseColWidth="8" defaultColWidth="9" defaultRowHeight="14.25"/>
  <cols>
    <col width="12.175" customWidth="1" style="55" min="1" max="1"/>
    <col width="26.6416666666667" customWidth="1" style="55" min="2" max="2"/>
    <col width="10.875" customWidth="1" style="55" min="3" max="3"/>
    <col width="9.641666666666669" customWidth="1" style="8" min="4" max="4"/>
    <col width="10.4666666666667" customWidth="1" style="55" min="5" max="5"/>
    <col width="20.525" customWidth="1" style="55" min="6" max="6"/>
    <col width="9" customWidth="1" style="55" min="7" max="16384"/>
  </cols>
  <sheetData>
    <row r="1" ht="20" customHeight="1" s="63">
      <c r="A1" s="9" t="inlineStr">
        <is>
          <t>HUARUI INTERNATIONAL TRADING CO., LTD</t>
        </is>
      </c>
    </row>
    <row r="2" ht="20" customHeight="1" s="63">
      <c r="A2" s="10" t="inlineStr">
        <is>
          <t>华瑞国际贸易有限公司</t>
        </is>
      </c>
    </row>
    <row r="3" ht="12" customHeight="1" s="63">
      <c r="A3" s="12" t="inlineStr">
        <is>
          <t>Room 1208, No.88 Century Avenue, Pudong, Shanghai 200120, China</t>
        </is>
      </c>
    </row>
    <row r="4" ht="12" customHeight="1" s="63">
      <c r="A4" s="12" t="inlineStr">
        <is>
          <t>Tel: 0086 21 6838 1311  Fax: 0086 21 6631 5503  Mailto: sales@huarui-trading.com</t>
        </is>
      </c>
    </row>
    <row r="5" ht="9.949999999999999" customHeight="1" s="63"/>
    <row r="6" ht="24.95" customHeight="1" s="63">
      <c r="A6" s="13" t="inlineStr">
        <is>
          <t>商  业  发  票</t>
        </is>
      </c>
    </row>
    <row r="7" ht="24.95" customFormat="1" customHeight="1" s="28">
      <c r="A7" s="14" t="inlineStr">
        <is>
          <t>COMMERCIAL  INVOICE</t>
        </is>
      </c>
      <c r="G7" s="28" t="n"/>
      <c r="H7" s="28" t="n"/>
      <c r="I7" s="28" t="n"/>
      <c r="J7" s="28" t="n"/>
      <c r="K7" s="28" t="n"/>
      <c r="L7" s="28" t="n"/>
      <c r="M7" s="28" t="n"/>
      <c r="N7" s="28" t="n"/>
    </row>
    <row r="8" ht="14.1" customFormat="1" customHeight="1" s="53">
      <c r="A8" s="16" t="n"/>
      <c r="C8" s="61" t="n"/>
      <c r="D8" s="18" t="n"/>
      <c r="E8" s="19" t="n"/>
      <c r="F8" s="19" t="n"/>
      <c r="G8" s="53" t="n"/>
      <c r="H8" s="53" t="n"/>
      <c r="I8" s="53" t="n"/>
      <c r="J8" s="53" t="n"/>
      <c r="K8" s="53" t="n"/>
      <c r="L8" s="53" t="n"/>
      <c r="M8" s="53" t="n"/>
      <c r="N8" s="53" t="n"/>
    </row>
    <row r="9" ht="14.1" customFormat="1" customHeight="1" s="38">
      <c r="A9" s="21" t="inlineStr">
        <is>
          <t xml:space="preserve">To:          </t>
        </is>
      </c>
      <c r="B9" s="22" t="inlineStr">
        <is>
          <t>GreenChem Europe B.V.</t>
        </is>
      </c>
      <c r="C9" s="22" t="n"/>
      <c r="D9" s="23" t="n"/>
      <c r="E9" s="53" t="inlineStr">
        <is>
          <t>Invoice No.:</t>
        </is>
      </c>
      <c r="F9" s="25" t="inlineStr">
        <is>
          <t>HR-TEST-CASE09</t>
        </is>
      </c>
    </row>
    <row r="10" ht="14.1" customFormat="1" customHeight="1" s="38">
      <c r="A10" s="22" t="n"/>
      <c r="B10" s="22" t="n"/>
      <c r="C10" s="22" t="n"/>
      <c r="D10" s="23" t="n"/>
      <c r="E10" s="53" t="inlineStr">
        <is>
          <t>INV Date:</t>
        </is>
      </c>
      <c r="F10" s="26" t="inlineStr">
        <is>
          <t>April 10, 2025</t>
        </is>
      </c>
    </row>
    <row r="11" ht="14.1" customFormat="1" customHeight="1" s="38">
      <c r="A11" s="53" t="inlineStr">
        <is>
          <t>Add.:</t>
        </is>
      </c>
      <c r="B11" s="22" t="inlineStr">
        <is>
          <t>Keizersgracht 125</t>
        </is>
      </c>
      <c r="C11" s="22" t="n"/>
      <c r="D11" s="23" t="n"/>
      <c r="E11" s="53" t="n"/>
      <c r="F11" s="27" t="n"/>
    </row>
    <row r="12" ht="14.1" customFormat="1" customHeight="1" s="38">
      <c r="A12" s="53" t="n"/>
      <c r="B12" s="22" t="inlineStr">
        <is>
          <t>1015 CJ Amsterdam</t>
        </is>
      </c>
      <c r="C12" s="22" t="n"/>
      <c r="D12" s="23" t="n"/>
      <c r="E12" s="53" t="inlineStr">
        <is>
          <t>PO No.:</t>
        </is>
      </c>
      <c r="F12" s="22" t="inlineStr">
        <is>
          <t>GCE-PO-TEST09</t>
        </is>
      </c>
    </row>
    <row r="13" ht="14.1" customFormat="1" customHeight="1" s="38">
      <c r="A13" s="28" t="n"/>
      <c r="B13" s="22" t="inlineStr">
        <is>
          <t>Netherlands</t>
        </is>
      </c>
      <c r="C13" s="22" t="n"/>
      <c r="D13" s="23" t="n"/>
      <c r="E13" s="53" t="inlineStr">
        <is>
          <t>PO Date:</t>
        </is>
      </c>
      <c r="F13" s="26" t="inlineStr">
        <is>
          <t>April 3, 2025</t>
        </is>
      </c>
    </row>
    <row r="14" ht="14.1" customFormat="1" customHeight="1" s="38">
      <c r="A14" s="29" t="n"/>
      <c r="B14" s="30" t="n"/>
      <c r="C14" s="29" t="n"/>
      <c r="D14" s="30" t="n"/>
      <c r="E14" s="29" t="n"/>
      <c r="F14" s="30" t="n"/>
    </row>
    <row r="15" ht="14.1" customFormat="1" customHeight="1" s="38">
      <c r="A15" s="31" t="inlineStr">
        <is>
          <t>INCOTERMS: FOB Shanghai Port</t>
        </is>
      </c>
      <c r="B15" s="22" t="n"/>
      <c r="C15" s="54" t="n"/>
      <c r="D15" s="22" t="n"/>
      <c r="E15" s="22" t="n"/>
      <c r="F15" s="33" t="n"/>
    </row>
    <row r="16" ht="14.1" customFormat="1" customHeight="1" s="38">
      <c r="A16" s="31" t="inlineStr">
        <is>
          <t>Payment term: T/T 30 days after B/L date</t>
        </is>
      </c>
      <c r="B16" s="22" t="n"/>
      <c r="C16" s="54" t="n"/>
      <c r="D16" s="31" t="n"/>
      <c r="E16" s="22" t="n"/>
      <c r="F16" s="33" t="n"/>
    </row>
    <row r="17" ht="13.5" customFormat="1" customHeight="1" s="53">
      <c r="A17" s="21" t="inlineStr">
        <is>
          <t xml:space="preserve"> </t>
        </is>
      </c>
      <c r="B17" s="34" t="n"/>
      <c r="C17" s="54" t="n"/>
      <c r="D17" s="35" t="n"/>
      <c r="E17" s="34" t="n"/>
      <c r="F17" s="54" t="n"/>
      <c r="G17" s="53" t="n"/>
      <c r="H17" s="53" t="n"/>
      <c r="I17" s="53" t="n"/>
      <c r="J17" s="53" t="n"/>
      <c r="K17" s="53" t="n"/>
      <c r="L17" s="53" t="n"/>
      <c r="M17" s="53" t="n"/>
      <c r="N17" s="53" t="n"/>
    </row>
    <row r="18" ht="44" customFormat="1" customHeight="1" s="38">
      <c r="A18" s="36" t="inlineStr">
        <is>
          <t>Packing</t>
        </is>
      </c>
      <c r="B18" s="37" t="inlineStr">
        <is>
          <t>Description of Goods</t>
        </is>
      </c>
      <c r="C18" s="36" t="inlineStr">
        <is>
          <t>Unit Price, US$/KG</t>
        </is>
      </c>
      <c r="D18" s="36" t="inlineStr">
        <is>
          <t>Quantity, KGS</t>
        </is>
      </c>
      <c r="E18" s="36" t="inlineStr">
        <is>
          <t>Nos of Packages</t>
        </is>
      </c>
      <c r="F18" s="36" t="inlineStr">
        <is>
          <t>Total Value,
 FOB Shanghai</t>
        </is>
      </c>
      <c r="G18" s="38" t="n"/>
      <c r="H18" s="38" t="n"/>
      <c r="I18" s="38" t="n"/>
      <c r="J18" s="38" t="n"/>
      <c r="K18" s="38" t="n"/>
      <c r="L18" s="38" t="n"/>
      <c r="M18" s="38" t="n"/>
    </row>
    <row r="19" ht="14" customFormat="1" customHeight="1" s="38">
      <c r="A19" s="39" t="inlineStr">
        <is>
          <t>1,050KGS/IBC</t>
        </is>
      </c>
      <c r="B19" s="40" t="inlineStr">
        <is>
          <t>Glutaraldehyde 50%</t>
        </is>
      </c>
      <c r="C19" s="39" t="n">
        <v>1.85</v>
      </c>
      <c r="D19" s="41" t="n">
        <v>21000</v>
      </c>
      <c r="E19" s="39" t="n">
        <v>20</v>
      </c>
      <c r="F19" s="64" t="inlineStr">
        <is>
          <t>USD 38,850.00</t>
        </is>
      </c>
      <c r="G19" s="38" t="n"/>
      <c r="H19" s="38" t="n"/>
      <c r="I19" s="38" t="n"/>
      <c r="J19" s="38" t="n"/>
      <c r="K19" s="38" t="n"/>
      <c r="L19" s="38" t="n"/>
      <c r="M19" s="38" t="n"/>
    </row>
    <row r="20" ht="14" customFormat="1" customHeight="1" s="38">
      <c r="A20" s="22" t="n"/>
      <c r="B20" s="40" t="inlineStr">
        <is>
          <t>Material Code: GTA-50-IBC</t>
        </is>
      </c>
      <c r="C20" s="22" t="n"/>
      <c r="D20" s="22" t="n"/>
      <c r="E20" s="22" t="n"/>
      <c r="F20" s="22" t="n"/>
      <c r="G20" s="38" t="n"/>
      <c r="H20" s="38" t="n"/>
      <c r="I20" s="38" t="n"/>
      <c r="J20" s="38" t="n"/>
      <c r="K20" s="38" t="n"/>
      <c r="L20" s="38" t="n"/>
      <c r="M20" s="38" t="n"/>
    </row>
    <row r="21" ht="14" customFormat="1" customHeight="1" s="38">
      <c r="A21" s="39" t="n"/>
      <c r="B21" s="22" t="n"/>
      <c r="C21" s="39" t="n"/>
      <c r="D21" s="39" t="n"/>
      <c r="E21" s="39" t="n"/>
      <c r="F21" s="64" t="n"/>
      <c r="G21" s="38" t="n"/>
      <c r="H21" s="38" t="n"/>
      <c r="I21" s="38" t="n"/>
      <c r="J21" s="38" t="n"/>
      <c r="K21" s="38" t="n"/>
      <c r="L21" s="38" t="n"/>
      <c r="M21" s="38" t="n"/>
    </row>
    <row r="22" ht="14" customFormat="1" customHeight="1" s="38">
      <c r="A22" s="43" t="n"/>
      <c r="B22" s="44" t="n"/>
      <c r="C22" s="43" t="n"/>
      <c r="D22" s="43" t="n"/>
      <c r="E22" s="43" t="n"/>
      <c r="F22" s="65" t="n"/>
      <c r="G22" s="38" t="n"/>
      <c r="H22" s="38" t="n"/>
      <c r="I22" s="38" t="n"/>
      <c r="J22" s="38" t="n"/>
      <c r="K22" s="38" t="n"/>
      <c r="L22" s="38" t="n"/>
      <c r="M22" s="38" t="n"/>
    </row>
    <row r="23" ht="12.75" customFormat="1" customHeight="1" s="38">
      <c r="A23" s="46" t="inlineStr">
        <is>
          <t>TOTAL:</t>
        </is>
      </c>
      <c r="B23" s="47" t="n"/>
      <c r="C23" s="47" t="n"/>
      <c r="D23" s="48">
        <f>SUM(D18:D22)</f>
        <v/>
      </c>
      <c r="E23" s="31">
        <f>SUM(E19:E22)</f>
        <v/>
      </c>
      <c r="F23" s="66" t="inlineStr">
        <is>
          <t>USD 38,850.00</t>
        </is>
      </c>
      <c r="G23" s="38" t="n"/>
      <c r="H23" s="38" t="n"/>
      <c r="I23" s="38" t="n"/>
      <c r="J23" s="38" t="n"/>
      <c r="K23" s="38" t="n"/>
      <c r="L23" s="38" t="n"/>
      <c r="M23" s="38" t="n"/>
    </row>
    <row r="24" ht="18" customFormat="1" customHeight="1" s="59">
      <c r="A24" s="50" t="inlineStr">
        <is>
          <t>SAY TOTAL US DOLLARS THIRTY-EIGHT THOUSAND EIGHT HUNDRED AND FIFTY ONLY.</t>
        </is>
      </c>
      <c r="B24" s="53" t="n"/>
      <c r="C24" s="53" t="n"/>
      <c r="D24" s="53" t="n"/>
      <c r="E24" s="53" t="n"/>
      <c r="F24" s="53" t="n"/>
    </row>
    <row r="25" ht="14.1" customFormat="1" customHeight="1" s="59">
      <c r="A25" s="54" t="n"/>
      <c r="B25" s="54" t="n"/>
      <c r="C25" s="54" t="n"/>
      <c r="D25" s="51" t="n"/>
      <c r="E25" s="54" t="n"/>
      <c r="F25" s="54" t="n"/>
      <c r="G25" s="59" t="n"/>
      <c r="H25" s="59" t="n"/>
      <c r="I25" s="59" t="n"/>
      <c r="J25" s="59" t="n"/>
      <c r="K25" s="59" t="n"/>
      <c r="L25" s="59" t="n"/>
      <c r="M25" s="59" t="n"/>
      <c r="N25" s="59" t="n"/>
    </row>
    <row r="26" ht="14.1" customFormat="1" customHeight="1" s="59">
      <c r="A26" s="21" t="inlineStr">
        <is>
          <t>Bank Information:</t>
        </is>
      </c>
      <c r="B26" s="53" t="n"/>
      <c r="C26" s="54" t="n"/>
      <c r="D26" s="51" t="n"/>
      <c r="E26" s="54" t="n"/>
      <c r="F26" s="54" t="n"/>
      <c r="G26" s="59" t="n"/>
      <c r="H26" s="59" t="n"/>
      <c r="I26" s="59" t="n"/>
      <c r="J26" s="59" t="n"/>
      <c r="K26" s="59" t="n"/>
      <c r="L26" s="59" t="n"/>
      <c r="M26" s="59" t="n"/>
      <c r="N26" s="59" t="n"/>
    </row>
    <row r="27" ht="14.1" customFormat="1" customHeight="1" s="59">
      <c r="A27" s="21" t="inlineStr">
        <is>
          <t>Bank:</t>
        </is>
      </c>
      <c r="B27" s="54" t="inlineStr">
        <is>
          <t>China Merchants Bank, Shanghai Branch</t>
        </is>
      </c>
      <c r="C27" s="54" t="n"/>
      <c r="D27" s="51" t="n"/>
      <c r="E27" s="54" t="n"/>
      <c r="F27" s="54" t="n"/>
      <c r="G27" s="59" t="n"/>
      <c r="H27" s="59" t="n"/>
      <c r="I27" s="59" t="n"/>
      <c r="J27" s="59" t="n"/>
      <c r="K27" s="59" t="n"/>
      <c r="L27" s="59" t="n"/>
      <c r="M27" s="59" t="n"/>
      <c r="N27" s="59" t="n"/>
    </row>
    <row r="28" ht="14.1" customFormat="1" customHeight="1" s="59">
      <c r="A28" s="54" t="inlineStr">
        <is>
          <t>Add.:</t>
        </is>
      </c>
      <c r="B28" s="54" t="inlineStr">
        <is>
          <t>No.388 Fushan Road, Pudong, Shanghai, China</t>
        </is>
      </c>
      <c r="C28" s="54" t="n"/>
      <c r="D28" s="51" t="n"/>
      <c r="E28" s="54" t="n"/>
      <c r="F28" s="54" t="n"/>
      <c r="G28" s="59" t="n"/>
      <c r="H28" s="59" t="n"/>
      <c r="I28" s="59" t="n"/>
      <c r="J28" s="59" t="n"/>
      <c r="K28" s="59" t="n"/>
      <c r="L28" s="59" t="n"/>
      <c r="M28" s="59" t="n"/>
      <c r="N28" s="59" t="n"/>
    </row>
    <row r="29" ht="14.1" customFormat="1" customHeight="1" s="59">
      <c r="A29" s="54" t="inlineStr">
        <is>
          <t>SWIFT Code:</t>
        </is>
      </c>
      <c r="B29" s="54" t="inlineStr">
        <is>
          <t>CMBCCNBS</t>
        </is>
      </c>
      <c r="C29" s="54" t="n"/>
      <c r="D29" s="51" t="n"/>
      <c r="E29" s="54" t="n"/>
      <c r="F29" s="54" t="n"/>
      <c r="G29" s="59" t="n"/>
      <c r="H29" s="59" t="n"/>
      <c r="I29" s="59" t="n"/>
      <c r="J29" s="59" t="n"/>
      <c r="K29" s="59" t="n"/>
      <c r="L29" s="59" t="n"/>
      <c r="M29" s="59" t="n"/>
      <c r="N29" s="59" t="n"/>
    </row>
    <row r="30" ht="14.1" customFormat="1" customHeight="1" s="59">
      <c r="A30" s="54" t="inlineStr">
        <is>
          <t>Account No.:</t>
        </is>
      </c>
      <c r="B30" s="53" t="inlineStr">
        <is>
          <t>6225 8812 3456 7890</t>
        </is>
      </c>
      <c r="C30" s="54" t="n"/>
      <c r="D30" s="51" t="n"/>
      <c r="E30" s="54" t="n"/>
      <c r="F30" s="54" t="n"/>
      <c r="G30" s="59" t="n"/>
      <c r="H30" s="59" t="n"/>
      <c r="I30" s="59" t="n"/>
      <c r="J30" s="59" t="n"/>
      <c r="K30" s="59" t="n"/>
      <c r="L30" s="59" t="n"/>
      <c r="M30" s="59" t="n"/>
      <c r="N30" s="59" t="n"/>
    </row>
    <row r="31" ht="14.1" customFormat="1" customHeight="1" s="59">
      <c r="A31" s="54" t="inlineStr">
        <is>
          <t>Beneficiary:</t>
        </is>
      </c>
      <c r="B31" s="54" t="inlineStr">
        <is>
          <t>Huarui International Trading Co., Ltd</t>
        </is>
      </c>
      <c r="C31" s="54" t="n"/>
      <c r="D31" s="51" t="n"/>
      <c r="E31" s="54" t="n"/>
      <c r="F31" s="54" t="n"/>
      <c r="G31" s="59" t="n"/>
      <c r="H31" s="59" t="n"/>
      <c r="I31" s="59" t="n"/>
      <c r="J31" s="59" t="n"/>
      <c r="K31" s="59" t="n"/>
      <c r="L31" s="59" t="n"/>
      <c r="M31" s="59" t="n"/>
      <c r="N31" s="59" t="n"/>
    </row>
    <row r="32" ht="14.1" customFormat="1" customHeight="1" s="59">
      <c r="A32" s="54" t="n"/>
      <c r="B32" s="54" t="inlineStr">
        <is>
          <t>Room 1208, No.88 Century Avenue, Pudong, Shanghai 200120, China</t>
        </is>
      </c>
      <c r="C32" s="54" t="n"/>
      <c r="D32" s="51" t="n"/>
      <c r="E32" s="54" t="n"/>
      <c r="F32" s="54" t="n"/>
      <c r="G32" s="59" t="n"/>
      <c r="H32" s="59" t="n"/>
      <c r="I32" s="59" t="n"/>
      <c r="J32" s="59" t="n"/>
      <c r="K32" s="59" t="n"/>
      <c r="L32" s="59" t="n"/>
      <c r="M32" s="59" t="n"/>
      <c r="N32" s="59" t="n"/>
    </row>
    <row r="33" ht="14.1" customFormat="1" customHeight="1" s="59">
      <c r="A33" s="21" t="n"/>
      <c r="B33" s="54" t="inlineStr">
        <is>
          <t>Tax ID: 91310115MA1K4XXXXX</t>
        </is>
      </c>
      <c r="C33" s="54" t="n"/>
      <c r="D33" s="51" t="n"/>
      <c r="E33" s="54" t="n"/>
      <c r="F33" s="54" t="n"/>
      <c r="G33" s="59" t="n"/>
      <c r="H33" s="59" t="n"/>
      <c r="I33" s="59" t="n"/>
      <c r="J33" s="59" t="n"/>
      <c r="K33" s="59" t="n"/>
      <c r="L33" s="59" t="n"/>
      <c r="M33" s="59" t="n"/>
      <c r="N33" s="59" t="n"/>
    </row>
    <row r="34" ht="14.1" customFormat="1" customHeight="1" s="55">
      <c r="A34" s="21" t="n"/>
      <c r="B34" s="54" t="n"/>
      <c r="C34" s="54" t="n"/>
      <c r="D34" s="51" t="n"/>
      <c r="E34" s="54" t="n"/>
      <c r="F34" s="54" t="n"/>
      <c r="G34" s="55" t="n"/>
      <c r="H34" s="55" t="n"/>
      <c r="I34" s="55" t="n"/>
      <c r="J34" s="55" t="n"/>
      <c r="K34" s="55" t="n"/>
      <c r="L34" s="55" t="n"/>
      <c r="M34" s="55" t="n"/>
      <c r="N34" s="55" t="n"/>
    </row>
    <row r="35" ht="14.1" customFormat="1" customHeight="1" s="55">
      <c r="A35" s="61" t="n"/>
      <c r="B35" s="16" t="n"/>
      <c r="C35" s="56" t="n"/>
      <c r="D35" s="57" t="n"/>
      <c r="E35" s="56" t="n"/>
      <c r="F35" s="58" t="inlineStr">
        <is>
          <t>Huarui International Trading Co., Ltd</t>
        </is>
      </c>
      <c r="G35" s="55" t="n"/>
      <c r="H35" s="55" t="n"/>
      <c r="I35" s="55" t="n"/>
      <c r="J35" s="55" t="n"/>
      <c r="K35" s="55" t="n"/>
      <c r="L35" s="55" t="n"/>
      <c r="M35" s="55" t="n"/>
      <c r="N35" s="55" t="n"/>
    </row>
    <row r="36" ht="14.1" customFormat="1" customHeight="1" s="55">
      <c r="A36" s="59" t="n"/>
      <c r="B36" s="16" t="n"/>
      <c r="C36" s="56" t="n"/>
      <c r="D36" s="18" t="n"/>
      <c r="E36" s="56" t="n"/>
      <c r="F36" s="60" t="n"/>
      <c r="G36" s="55" t="n"/>
      <c r="H36" s="55" t="n"/>
      <c r="I36" s="55" t="n"/>
      <c r="J36" s="55" t="n"/>
      <c r="K36" s="55" t="n"/>
      <c r="L36" s="55" t="n"/>
      <c r="M36" s="55" t="n"/>
      <c r="N36" s="55" t="n"/>
    </row>
    <row r="37" ht="14.1" customFormat="1" customHeight="1" s="55">
      <c r="B37" s="16" t="n"/>
      <c r="C37" s="56" t="n"/>
      <c r="D37" s="18" t="n"/>
      <c r="E37" s="56" t="n"/>
      <c r="F37" s="60" t="n"/>
      <c r="G37" s="55" t="n"/>
      <c r="H37" s="55" t="n"/>
      <c r="I37" s="55" t="n"/>
      <c r="J37" s="55" t="n"/>
      <c r="K37" s="55" t="n"/>
      <c r="L37" s="55" t="n"/>
      <c r="M37" s="55" t="n"/>
      <c r="N37" s="55" t="n"/>
    </row>
    <row r="38" ht="14.1" customFormat="1" customHeight="1" s="55">
      <c r="A38" s="16" t="n"/>
      <c r="B38" s="16" t="n"/>
      <c r="C38" s="61" t="n"/>
      <c r="D38" s="18" t="n"/>
      <c r="E38" s="56" t="n"/>
      <c r="F38" s="56" t="n"/>
      <c r="G38" s="55" t="n"/>
      <c r="H38" s="55" t="n"/>
      <c r="I38" s="55" t="n"/>
      <c r="J38" s="55" t="n"/>
      <c r="K38" s="55" t="n"/>
      <c r="L38" s="55" t="n"/>
      <c r="M38" s="55" t="n"/>
      <c r="N38" s="55" t="n"/>
    </row>
    <row r="39" ht="14.1" customFormat="1" customHeight="1" s="55">
      <c r="A39" s="16" t="n"/>
      <c r="B39" s="16" t="n"/>
      <c r="C39" s="61" t="n"/>
      <c r="D39" s="18" t="n"/>
      <c r="E39" s="56" t="n"/>
      <c r="F39" s="56" t="n"/>
      <c r="G39" s="55" t="n"/>
      <c r="H39" s="55" t="n"/>
      <c r="I39" s="55" t="n"/>
      <c r="J39" s="55" t="n"/>
      <c r="K39" s="55" t="n"/>
      <c r="L39" s="55" t="n"/>
      <c r="M39" s="55" t="n"/>
      <c r="N39" s="55" t="n"/>
    </row>
    <row r="40" ht="56.1" customHeight="1" s="63">
      <c r="A40" s="62" t="inlineStr">
        <is>
          <t>Warning: We, Huarui International Trading Co., Ltd, hereby claim that we willnever inform customers about our bank information change by email text. Any bank information changes will be presented by solid documents such as Proforma Invoice/Commercial Invoice/Official Statement with our company letter head and stamp.Please arrange payments only according to stamped Proforma Invoice/Commercial Invoice sent from our official email server. Do not execute any financialtransactions as per email-text from fraud.</t>
        </is>
      </c>
    </row>
  </sheetData>
  <mergeCells count="7">
    <mergeCell ref="A2:F2"/>
    <mergeCell ref="A1:F1"/>
    <mergeCell ref="A6:F6"/>
    <mergeCell ref="A40:F40"/>
    <mergeCell ref="A4:F4"/>
    <mergeCell ref="A3:F3"/>
    <mergeCell ref="A7:F7"/>
  </mergeCells>
  <printOptions horizontalCentered="1"/>
  <pageMargins left="0.635416666666667" right="0.635416666666667" top="0.748031496062992" bottom="0.748031496062992" header="0.31496062992126" footer="0.31496062992126"/>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37271</dc:creator>
  <dcterms:created xmlns:dcterms="http://purl.org/dc/terms/" xmlns:xsi="http://www.w3.org/2001/XMLSchema-instance" xsi:type="dcterms:W3CDTF">2026-04-18T12:09:00Z</dcterms:created>
  <dcterms:modified xmlns:dcterms="http://purl.org/dc/terms/" xmlns:xsi="http://www.w3.org/2001/XMLSchema-instance" xsi:type="dcterms:W3CDTF">2026-05-03T02:35:42Z</dcterms:modified>
  <cp:lastModifiedBy>抿晨</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DFE1384195404662926AF4BA5F5DC133_11</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1</vt:i4>
  </property>
</Properties>
</file>